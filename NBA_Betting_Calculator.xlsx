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rins/Documents/Projects/MachineLearningNBA/"/>
    </mc:Choice>
  </mc:AlternateContent>
  <xr:revisionPtr revIDLastSave="0" documentId="13_ncr:1_{E3ACA1E0-0E31-E64A-9BFC-87C51F4BE884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Calculator" sheetId="1" r:id="rId1"/>
    <sheet name="Today's Games" sheetId="2" r:id="rId2"/>
    <sheet name="Formulas" sheetId="3" r:id="rId3"/>
    <sheet name="Bet Track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B29" i="4"/>
  <c r="B28" i="4"/>
  <c r="B27" i="4"/>
  <c r="B30" i="4" s="1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G4" i="4"/>
  <c r="B31" i="4" s="1"/>
  <c r="B32" i="4" s="1"/>
  <c r="B10" i="2"/>
  <c r="D7" i="2"/>
  <c r="F7" i="2" s="1"/>
  <c r="G7" i="2" s="1"/>
  <c r="I6" i="2"/>
  <c r="B12" i="2" s="1"/>
  <c r="D6" i="2"/>
  <c r="F6" i="2" s="1"/>
  <c r="G6" i="2" s="1"/>
  <c r="D5" i="2"/>
  <c r="F5" i="2" s="1"/>
  <c r="G5" i="2" s="1"/>
  <c r="E4" i="1" l="1"/>
  <c r="E5" i="1" s="1"/>
  <c r="E12" i="1" s="1"/>
  <c r="B11" i="2"/>
  <c r="H4" i="4"/>
  <c r="E7" i="1" l="1"/>
  <c r="E8" i="1" s="1"/>
  <c r="B12" i="1" s="1"/>
  <c r="B17" i="1" s="1"/>
  <c r="B13" i="1" l="1"/>
  <c r="B19" i="1" s="1"/>
  <c r="B14" i="1" l="1"/>
  <c r="B16" i="1"/>
</calcChain>
</file>

<file path=xl/sharedStrings.xml><?xml version="1.0" encoding="utf-8"?>
<sst xmlns="http://schemas.openxmlformats.org/spreadsheetml/2006/main" count="110" uniqueCount="100">
  <si>
    <t>NBA BETTING CALCULATOR</t>
  </si>
  <si>
    <t>YOUR INPUTS</t>
  </si>
  <si>
    <t>CALCULATED VALUES</t>
  </si>
  <si>
    <t>Bankroll:</t>
  </si>
  <si>
    <t>Vegas Implied %:</t>
  </si>
  <si>
    <t>Team:</t>
  </si>
  <si>
    <t>PHX</t>
  </si>
  <si>
    <t>Your Edge:</t>
  </si>
  <si>
    <t>Vegas Odds:</t>
  </si>
  <si>
    <t>Decimal Odds:</t>
  </si>
  <si>
    <t>Your Win % (0-100):</t>
  </si>
  <si>
    <t>Full Kelly %:</t>
  </si>
  <si>
    <t>Kelly Fraction (0.25 = safe):</t>
  </si>
  <si>
    <t>Fractional Kelly %:</t>
  </si>
  <si>
    <t>BETTING RECOMMENDATION</t>
  </si>
  <si>
    <t>Recommended Bet:</t>
  </si>
  <si>
    <t>DECISION:</t>
  </si>
  <si>
    <t>Profit if Win:</t>
  </si>
  <si>
    <t>Total Return:</t>
  </si>
  <si>
    <t>If WIN:</t>
  </si>
  <si>
    <t>If LOSE:</t>
  </si>
  <si>
    <t>Expected Value:</t>
  </si>
  <si>
    <t>INSTRUCTIONS:</t>
  </si>
  <si>
    <t>1. Change values in BLUE (cells B4-B8)</t>
  </si>
  <si>
    <t>2. Calculations update automatically</t>
  </si>
  <si>
    <t>3. Only bet if Edge (E5) is POSITIVE!</t>
  </si>
  <si>
    <t>4. Recommended bet shown in B12</t>
  </si>
  <si>
    <t>TODAY'S GAMES ANALYSIS</t>
  </si>
  <si>
    <t>Team</t>
  </si>
  <si>
    <t>Opponent</t>
  </si>
  <si>
    <t>Odds</t>
  </si>
  <si>
    <t>Vegas %</t>
  </si>
  <si>
    <t>Your %</t>
  </si>
  <si>
    <t>Edge</t>
  </si>
  <si>
    <t>Decision</t>
  </si>
  <si>
    <t>Bet</t>
  </si>
  <si>
    <t>Profit</t>
  </si>
  <si>
    <t>CLE</t>
  </si>
  <si>
    <t>TOR</t>
  </si>
  <si>
    <t>IND</t>
  </si>
  <si>
    <t>ATL</t>
  </si>
  <si>
    <t>UTA</t>
  </si>
  <si>
    <t>SUMMARY:</t>
  </si>
  <si>
    <t>Total to Bet:</t>
  </si>
  <si>
    <t>Potential Profit:</t>
  </si>
  <si>
    <t>BETTING FORMULAS REFERENCE</t>
  </si>
  <si>
    <t>Formula</t>
  </si>
  <si>
    <t>What It Does</t>
  </si>
  <si>
    <t>Example</t>
  </si>
  <si>
    <t>AMERICAN ODDS TO IMPLIED PROBABILITY</t>
  </si>
  <si>
    <t>Favorites: -Odds/(-Odds+100)</t>
  </si>
  <si>
    <t>Vegas win %</t>
  </si>
  <si>
    <t>-188 → 188/288 = 65.3%</t>
  </si>
  <si>
    <t>Underdogs: 100/(Odds+100)</t>
  </si>
  <si>
    <t>+150 → 100/250 = 40%</t>
  </si>
  <si>
    <t>AMERICAN ODDS TO DECIMAL</t>
  </si>
  <si>
    <t>Favorites: 1+(100/-Odds)</t>
  </si>
  <si>
    <t>Decimal format</t>
  </si>
  <si>
    <t>-188 → 1+100/188 = 1.532</t>
  </si>
  <si>
    <t>Underdogs: 1+(Odds/100)</t>
  </si>
  <si>
    <t>+150 → 1+150/100 = 2.5</t>
  </si>
  <si>
    <t>CALCULATE EDGE</t>
  </si>
  <si>
    <t>Your % - Vegas %</t>
  </si>
  <si>
    <t>Your advantage</t>
  </si>
  <si>
    <t>76.2% - 65.3% = +10.9%</t>
  </si>
  <si>
    <t>KELLY CRITERION</t>
  </si>
  <si>
    <t>f = (bp-q)/b</t>
  </si>
  <si>
    <t>Optimal bet size</t>
  </si>
  <si>
    <t>p=win%, q=loss%, b=odds-1</t>
  </si>
  <si>
    <t>where b=decimal odds-1</t>
  </si>
  <si>
    <t>p=your win probability</t>
  </si>
  <si>
    <t>q=1-p</t>
  </si>
  <si>
    <t>PROFIT FROM BET</t>
  </si>
  <si>
    <t>Favorites: Bet×(100/-Odds)</t>
  </si>
  <si>
    <t>Profit if win</t>
  </si>
  <si>
    <t>$3×(100/188) = $1.60</t>
  </si>
  <si>
    <t>Underdogs: Bet×(Odds/100)</t>
  </si>
  <si>
    <t>$3×(150/100) = $4.50</t>
  </si>
  <si>
    <t>EXPECTED VALUE</t>
  </si>
  <si>
    <t>(Win%×Profit)-(Loss%×Bet)</t>
  </si>
  <si>
    <t>Avg profit/bet</t>
  </si>
  <si>
    <t>(76.2%×$1.60)-(23.8%×$3)=$0.51</t>
  </si>
  <si>
    <t>BETTING HISTORY TRACKER</t>
  </si>
  <si>
    <t>Date</t>
  </si>
  <si>
    <t>Game</t>
  </si>
  <si>
    <t>Result</t>
  </si>
  <si>
    <t>Profit/Loss</t>
  </si>
  <si>
    <t>Bankroll</t>
  </si>
  <si>
    <t>11/13/2025</t>
  </si>
  <si>
    <t>Starting Balance</t>
  </si>
  <si>
    <t>PHX vs IND</t>
  </si>
  <si>
    <t>Win</t>
  </si>
  <si>
    <t>STATS:</t>
  </si>
  <si>
    <t>Total Bets:</t>
  </si>
  <si>
    <t>Wins:</t>
  </si>
  <si>
    <t>Losses:</t>
  </si>
  <si>
    <t>Win Rate:</t>
  </si>
  <si>
    <t>Net Profit:</t>
  </si>
  <si>
    <t>ROI: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</si>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</sst>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"/>
    <numFmt numFmtId="166" formatCode="0.0%"/>
    <numFmt numFmtId="167" formatCode="\+0.0%;\-0.0%;0.0%"/>
    <numFmt numFmtId="168" formatCode="0.000"/>
    <numFmt numFmtId="169" formatCode="\+0.0%;\-0.0%"/>
    <numFmt numFmtId="170" formatCode="\$#,##0.00;\(\$#,##0.00\)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0000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u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3" fillId="0" borderId="0" xfId="0" applyNumberFormat="1" applyFont="1"/>
    <xf numFmtId="166" fontId="0" fillId="0" borderId="0" xfId="0" applyNumberFormat="1"/>
    <xf numFmtId="0" fontId="3" fillId="0" borderId="0" xfId="0" applyFont="1"/>
    <xf numFmtId="167" fontId="0" fillId="0" borderId="0" xfId="0" applyNumberFormat="1"/>
    <xf numFmtId="168" fontId="0" fillId="0" borderId="0" xfId="0" applyNumberFormat="1"/>
    <xf numFmtId="165" fontId="3" fillId="0" borderId="0" xfId="0" applyNumberFormat="1" applyFont="1"/>
    <xf numFmtId="2" fontId="3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164" fontId="0" fillId="6" borderId="0" xfId="0" applyNumberFormat="1" applyFill="1"/>
    <xf numFmtId="164" fontId="0" fillId="7" borderId="0" xfId="0" applyNumberFormat="1" applyFill="1"/>
    <xf numFmtId="164" fontId="5" fillId="0" borderId="0" xfId="0" applyNumberFormat="1" applyFont="1"/>
    <xf numFmtId="0" fontId="6" fillId="0" borderId="0" xfId="0" applyFont="1"/>
    <xf numFmtId="0" fontId="8" fillId="8" borderId="0" xfId="0" applyFont="1" applyFill="1" applyAlignment="1">
      <alignment horizontal="center"/>
    </xf>
    <xf numFmtId="169" fontId="0" fillId="0" borderId="0" xfId="0" applyNumberFormat="1"/>
    <xf numFmtId="0" fontId="0" fillId="6" borderId="0" xfId="0" applyFill="1"/>
    <xf numFmtId="166" fontId="0" fillId="6" borderId="0" xfId="0" applyNumberFormat="1" applyFill="1"/>
    <xf numFmtId="169" fontId="0" fillId="6" borderId="0" xfId="0" applyNumberFormat="1" applyFill="1"/>
    <xf numFmtId="164" fontId="9" fillId="6" borderId="0" xfId="0" applyNumberFormat="1" applyFont="1" applyFill="1"/>
    <xf numFmtId="0" fontId="5" fillId="0" borderId="0" xfId="0" applyFont="1"/>
    <xf numFmtId="164" fontId="9" fillId="0" borderId="0" xfId="0" applyNumberFormat="1" applyFont="1"/>
    <xf numFmtId="0" fontId="8" fillId="8" borderId="0" xfId="0" applyFont="1" applyFill="1"/>
    <xf numFmtId="0" fontId="9" fillId="0" borderId="0" xfId="0" applyFont="1"/>
    <xf numFmtId="170" fontId="0" fillId="0" borderId="0" xfId="0" applyNumberFormat="1"/>
    <xf numFmtId="170" fontId="5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0" xfId="0" applyFont="1" applyFill="1"/>
    <xf numFmtId="0" fontId="2" fillId="3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39" workbookViewId="0">
      <selection activeCell="B5" sqref="B5"/>
    </sheetView>
  </sheetViews>
  <sheetFormatPr baseColWidth="10" defaultColWidth="8.83203125" defaultRowHeight="15" x14ac:dyDescent="0.2"/>
  <cols>
    <col min="1" max="1" width="25" customWidth="1"/>
    <col min="2" max="2" width="15" customWidth="1"/>
    <col min="4" max="4" width="20" customWidth="1"/>
    <col min="5" max="5" width="15" customWidth="1"/>
    <col min="6" max="6" width="10" customWidth="1"/>
  </cols>
  <sheetData>
    <row r="1" spans="1:6" ht="21" x14ac:dyDescent="0.25">
      <c r="A1" s="29" t="s">
        <v>0</v>
      </c>
      <c r="B1" s="27"/>
      <c r="C1" s="27"/>
      <c r="D1" s="27"/>
      <c r="E1" s="27"/>
      <c r="F1" s="27"/>
    </row>
    <row r="3" spans="1:6" ht="16" x14ac:dyDescent="0.2">
      <c r="A3" s="31" t="s">
        <v>1</v>
      </c>
      <c r="B3" s="27"/>
      <c r="D3" s="30" t="s">
        <v>2</v>
      </c>
      <c r="E3" s="27"/>
      <c r="F3" s="27"/>
    </row>
    <row r="4" spans="1:6" x14ac:dyDescent="0.2">
      <c r="A4" t="s">
        <v>3</v>
      </c>
      <c r="B4" s="1">
        <v>70.44</v>
      </c>
      <c r="D4" t="s">
        <v>4</v>
      </c>
      <c r="E4" s="2">
        <f>ABS(B6)/(ABS(B6)+100)</f>
        <v>0.5</v>
      </c>
    </row>
    <row r="5" spans="1:6" x14ac:dyDescent="0.2">
      <c r="A5" t="s">
        <v>5</v>
      </c>
      <c r="B5" s="3" t="s">
        <v>99</v>
      </c>
      <c r="D5" t="s">
        <v>7</v>
      </c>
      <c r="E5" s="4">
        <f>B7/100-E4</f>
        <v>0.14000000000000001</v>
      </c>
    </row>
    <row r="6" spans="1:6" x14ac:dyDescent="0.2">
      <c r="A6" t="s">
        <v>8</v>
      </c>
      <c r="B6" s="3">
        <v>-100</v>
      </c>
      <c r="D6" t="s">
        <v>9</v>
      </c>
      <c r="E6" s="5">
        <f>1+(100/ABS(B6))</f>
        <v>2</v>
      </c>
    </row>
    <row r="7" spans="1:6" x14ac:dyDescent="0.2">
      <c r="A7" t="s">
        <v>10</v>
      </c>
      <c r="B7" s="6">
        <v>64</v>
      </c>
      <c r="D7" t="s">
        <v>11</v>
      </c>
      <c r="E7" s="2">
        <f>IF(E5&gt;0,((E6-1)*(B7/100)-(1-B7/100))/(E6-1),0)</f>
        <v>0.28000000000000003</v>
      </c>
    </row>
    <row r="8" spans="1:6" x14ac:dyDescent="0.2">
      <c r="A8" t="s">
        <v>12</v>
      </c>
      <c r="B8" s="7">
        <v>0.5</v>
      </c>
      <c r="D8" t="s">
        <v>13</v>
      </c>
      <c r="E8" s="2">
        <f>E7*B8</f>
        <v>0.14000000000000001</v>
      </c>
    </row>
    <row r="10" spans="1:6" ht="16" x14ac:dyDescent="0.2">
      <c r="A10" s="28" t="s">
        <v>14</v>
      </c>
      <c r="B10" s="27"/>
      <c r="C10" s="27"/>
      <c r="D10" s="27"/>
      <c r="E10" s="27"/>
      <c r="F10" s="27"/>
    </row>
    <row r="12" spans="1:6" ht="19" x14ac:dyDescent="0.25">
      <c r="A12" t="s">
        <v>15</v>
      </c>
      <c r="B12" s="8">
        <f>IF(E5&gt;0,B4*E8,0)</f>
        <v>9.861600000000001</v>
      </c>
      <c r="D12" t="s">
        <v>16</v>
      </c>
      <c r="E12" s="26" t="str">
        <f>IF(E5&gt;0,"✅ BET","❌ SKIP")</f>
        <v>✅ BET</v>
      </c>
      <c r="F12" s="27"/>
    </row>
    <row r="13" spans="1:6" x14ac:dyDescent="0.2">
      <c r="A13" t="s">
        <v>17</v>
      </c>
      <c r="B13" s="9">
        <f>IF(B12&gt;0,B12*(100/ABS(B6)),0)</f>
        <v>9.861600000000001</v>
      </c>
    </row>
    <row r="14" spans="1:6" x14ac:dyDescent="0.2">
      <c r="A14" t="s">
        <v>18</v>
      </c>
      <c r="B14" s="9">
        <f>B12+B13</f>
        <v>19.723200000000002</v>
      </c>
    </row>
    <row r="16" spans="1:6" x14ac:dyDescent="0.2">
      <c r="A16" t="s">
        <v>19</v>
      </c>
      <c r="B16" s="10">
        <f>B4+B13</f>
        <v>80.301599999999993</v>
      </c>
    </row>
    <row r="17" spans="1:2" x14ac:dyDescent="0.2">
      <c r="A17" t="s">
        <v>20</v>
      </c>
      <c r="B17" s="11">
        <f>B4-B12</f>
        <v>60.578399999999995</v>
      </c>
    </row>
    <row r="19" spans="1:2" ht="16" x14ac:dyDescent="0.2">
      <c r="A19" t="s">
        <v>21</v>
      </c>
      <c r="B19" s="12">
        <f>(B7/100*B13)-((100-B7)/100*B12)</f>
        <v>2.7612480000000001</v>
      </c>
    </row>
    <row r="22" spans="1:2" x14ac:dyDescent="0.2">
      <c r="A22" s="13" t="s">
        <v>22</v>
      </c>
    </row>
    <row r="23" spans="1:2" x14ac:dyDescent="0.2">
      <c r="A23" t="s">
        <v>23</v>
      </c>
    </row>
    <row r="24" spans="1:2" x14ac:dyDescent="0.2">
      <c r="A24" t="s">
        <v>24</v>
      </c>
    </row>
    <row r="25" spans="1:2" x14ac:dyDescent="0.2">
      <c r="A25" t="s">
        <v>25</v>
      </c>
    </row>
    <row r="26" spans="1:2" x14ac:dyDescent="0.2">
      <c r="A26" t="s">
        <v>26</v>
      </c>
    </row>
  </sheetData>
  <mergeCells count="5">
    <mergeCell ref="E12:F12"/>
    <mergeCell ref="A10:F10"/>
    <mergeCell ref="A1:F1"/>
    <mergeCell ref="D3:F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sqref="A1:I1"/>
    </sheetView>
  </sheetViews>
  <sheetFormatPr baseColWidth="10" defaultColWidth="8.83203125" defaultRowHeight="15" x14ac:dyDescent="0.2"/>
  <cols>
    <col min="1" max="9" width="12" customWidth="1"/>
  </cols>
  <sheetData>
    <row r="1" spans="1:9" ht="19" x14ac:dyDescent="0.25">
      <c r="A1" s="32" t="s">
        <v>27</v>
      </c>
      <c r="B1" s="27"/>
      <c r="C1" s="27"/>
      <c r="D1" s="27"/>
      <c r="E1" s="27"/>
      <c r="F1" s="27"/>
      <c r="G1" s="27"/>
      <c r="H1" s="27"/>
      <c r="I1" s="27"/>
    </row>
    <row r="2" spans="1:9" x14ac:dyDescent="0.2">
      <c r="A2" s="14" t="s">
        <v>28</v>
      </c>
      <c r="B2" s="14" t="s">
        <v>29</v>
      </c>
      <c r="C2" s="14" t="s">
        <v>30</v>
      </c>
      <c r="D2" s="14" t="s">
        <v>31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36</v>
      </c>
    </row>
    <row r="3" spans="1:9" x14ac:dyDescent="0.2">
      <c r="A3" t="s">
        <v>3</v>
      </c>
      <c r="B3" s="1">
        <v>40</v>
      </c>
    </row>
    <row r="5" spans="1:9" x14ac:dyDescent="0.2">
      <c r="A5" t="s">
        <v>37</v>
      </c>
      <c r="B5" t="s">
        <v>38</v>
      </c>
      <c r="C5">
        <v>-290</v>
      </c>
      <c r="D5" s="2">
        <f>ABS(C5)/(ABS(C5)+100)</f>
        <v>0.74358974358974361</v>
      </c>
      <c r="E5" s="2">
        <v>0.54200000000000004</v>
      </c>
      <c r="F5" s="15">
        <f>E5-D5</f>
        <v>-0.20158974358974358</v>
      </c>
      <c r="G5" t="str">
        <f>IF(F5&gt;0,"✅ BET","❌ SKIP")</f>
        <v>❌ SKIP</v>
      </c>
      <c r="H5" s="9">
        <v>0</v>
      </c>
      <c r="I5" s="9">
        <v>0</v>
      </c>
    </row>
    <row r="6" spans="1:9" x14ac:dyDescent="0.2">
      <c r="A6" s="16" t="s">
        <v>6</v>
      </c>
      <c r="B6" s="16" t="s">
        <v>39</v>
      </c>
      <c r="C6" s="16">
        <v>-188</v>
      </c>
      <c r="D6" s="17">
        <f>ABS(C6)/(ABS(C6)+100)</f>
        <v>0.65277777777777779</v>
      </c>
      <c r="E6" s="17">
        <v>0.76200000000000001</v>
      </c>
      <c r="F6" s="18">
        <f>E6-D6</f>
        <v>0.10922222222222222</v>
      </c>
      <c r="G6" s="16" t="str">
        <f>IF(F6&gt;0,"✅ BET","❌ SKIP")</f>
        <v>✅ BET</v>
      </c>
      <c r="H6" s="19">
        <v>3</v>
      </c>
      <c r="I6" s="19">
        <f>H6*(100/ABS(C6))</f>
        <v>1.5957446808510638</v>
      </c>
    </row>
    <row r="7" spans="1:9" x14ac:dyDescent="0.2">
      <c r="A7" t="s">
        <v>40</v>
      </c>
      <c r="B7" t="s">
        <v>41</v>
      </c>
      <c r="C7">
        <v>-134</v>
      </c>
      <c r="D7" s="2">
        <f>ABS(C7)/(ABS(C7)+100)</f>
        <v>0.57264957264957261</v>
      </c>
      <c r="E7" s="2">
        <v>0.52</v>
      </c>
      <c r="F7" s="15">
        <f>E7-D7</f>
        <v>-5.2649572649572596E-2</v>
      </c>
      <c r="G7" t="str">
        <f>IF(F7&gt;0,"✅ BET","❌ SKIP")</f>
        <v>❌ SKIP</v>
      </c>
      <c r="H7" s="9">
        <v>0</v>
      </c>
      <c r="I7" s="9">
        <v>0</v>
      </c>
    </row>
    <row r="9" spans="1:9" ht="16" x14ac:dyDescent="0.2">
      <c r="A9" s="20" t="s">
        <v>42</v>
      </c>
    </row>
    <row r="10" spans="1:9" x14ac:dyDescent="0.2">
      <c r="A10" t="s">
        <v>43</v>
      </c>
      <c r="B10" s="21">
        <f>SUM(H5:H7)</f>
        <v>3</v>
      </c>
    </row>
    <row r="11" spans="1:9" x14ac:dyDescent="0.2">
      <c r="A11" t="s">
        <v>44</v>
      </c>
      <c r="B11" s="21">
        <f>SUM(I5:I7)</f>
        <v>1.5957446808510638</v>
      </c>
    </row>
    <row r="12" spans="1:9" x14ac:dyDescent="0.2">
      <c r="A12" t="s">
        <v>21</v>
      </c>
      <c r="B12" s="21">
        <f>SUMPRODUCT(E5:E7,I5:I7)-SUMPRODUCT(1-E5:E7,H5:H7)</f>
        <v>0.50195744680851062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sqref="A1:C1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3" width="30" customWidth="1"/>
  </cols>
  <sheetData>
    <row r="1" spans="1:3" ht="19" x14ac:dyDescent="0.25">
      <c r="A1" s="32" t="s">
        <v>45</v>
      </c>
      <c r="B1" s="27"/>
      <c r="C1" s="27"/>
    </row>
    <row r="2" spans="1:3" x14ac:dyDescent="0.2">
      <c r="A2" s="22" t="s">
        <v>46</v>
      </c>
      <c r="B2" s="22" t="s">
        <v>47</v>
      </c>
      <c r="C2" s="22" t="s">
        <v>48</v>
      </c>
    </row>
    <row r="4" spans="1:3" x14ac:dyDescent="0.2">
      <c r="A4" s="23" t="s">
        <v>49</v>
      </c>
    </row>
    <row r="5" spans="1:3" x14ac:dyDescent="0.2">
      <c r="A5" t="s">
        <v>50</v>
      </c>
      <c r="B5" t="s">
        <v>51</v>
      </c>
      <c r="C5" t="s">
        <v>52</v>
      </c>
    </row>
    <row r="6" spans="1:3" x14ac:dyDescent="0.2">
      <c r="A6" t="s">
        <v>53</v>
      </c>
      <c r="B6" t="s">
        <v>51</v>
      </c>
      <c r="C6" t="s">
        <v>54</v>
      </c>
    </row>
    <row r="8" spans="1:3" x14ac:dyDescent="0.2">
      <c r="A8" s="23" t="s">
        <v>55</v>
      </c>
    </row>
    <row r="9" spans="1:3" x14ac:dyDescent="0.2">
      <c r="A9" t="s">
        <v>56</v>
      </c>
      <c r="B9" t="s">
        <v>57</v>
      </c>
      <c r="C9" t="s">
        <v>58</v>
      </c>
    </row>
    <row r="10" spans="1:3" x14ac:dyDescent="0.2">
      <c r="A10" t="s">
        <v>59</v>
      </c>
      <c r="B10" t="s">
        <v>57</v>
      </c>
      <c r="C10" t="s">
        <v>60</v>
      </c>
    </row>
    <row r="12" spans="1:3" x14ac:dyDescent="0.2">
      <c r="A12" s="23" t="s">
        <v>61</v>
      </c>
    </row>
    <row r="13" spans="1:3" x14ac:dyDescent="0.2">
      <c r="A13" t="s">
        <v>62</v>
      </c>
      <c r="B13" t="s">
        <v>63</v>
      </c>
      <c r="C13" t="s">
        <v>64</v>
      </c>
    </row>
    <row r="15" spans="1:3" x14ac:dyDescent="0.2">
      <c r="A15" s="23" t="s">
        <v>65</v>
      </c>
    </row>
    <row r="16" spans="1:3" x14ac:dyDescent="0.2">
      <c r="A16" t="s">
        <v>66</v>
      </c>
      <c r="B16" t="s">
        <v>67</v>
      </c>
      <c r="C16" t="s">
        <v>68</v>
      </c>
    </row>
    <row r="17" spans="1:3" x14ac:dyDescent="0.2">
      <c r="A17" t="s">
        <v>69</v>
      </c>
    </row>
    <row r="18" spans="1:3" x14ac:dyDescent="0.2">
      <c r="A18" t="s">
        <v>70</v>
      </c>
    </row>
    <row r="19" spans="1:3" x14ac:dyDescent="0.2">
      <c r="A19" t="s">
        <v>71</v>
      </c>
    </row>
    <row r="21" spans="1:3" x14ac:dyDescent="0.2">
      <c r="A21" s="23" t="s">
        <v>72</v>
      </c>
    </row>
    <row r="22" spans="1:3" x14ac:dyDescent="0.2">
      <c r="A22" t="s">
        <v>73</v>
      </c>
      <c r="B22" t="s">
        <v>74</v>
      </c>
      <c r="C22" t="s">
        <v>75</v>
      </c>
    </row>
    <row r="23" spans="1:3" x14ac:dyDescent="0.2">
      <c r="A23" t="s">
        <v>76</v>
      </c>
      <c r="B23" t="s">
        <v>74</v>
      </c>
      <c r="C23" t="s">
        <v>77</v>
      </c>
    </row>
    <row r="25" spans="1:3" x14ac:dyDescent="0.2">
      <c r="A25" s="23" t="s">
        <v>78</v>
      </c>
    </row>
    <row r="26" spans="1:3" x14ac:dyDescent="0.2">
      <c r="A26" t="s">
        <v>79</v>
      </c>
      <c r="B26" t="s">
        <v>80</v>
      </c>
      <c r="C26" t="s">
        <v>81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sqref="A1:H1"/>
    </sheetView>
  </sheetViews>
  <sheetFormatPr baseColWidth="10" defaultColWidth="8.83203125" defaultRowHeight="15" x14ac:dyDescent="0.2"/>
  <cols>
    <col min="1" max="8" width="14" customWidth="1"/>
  </cols>
  <sheetData>
    <row r="1" spans="1:8" ht="19" x14ac:dyDescent="0.25">
      <c r="A1" s="33" t="s">
        <v>82</v>
      </c>
      <c r="B1" s="27"/>
      <c r="C1" s="27"/>
      <c r="D1" s="27"/>
      <c r="E1" s="27"/>
      <c r="F1" s="27"/>
      <c r="G1" s="27"/>
      <c r="H1" s="27"/>
    </row>
    <row r="2" spans="1:8" x14ac:dyDescent="0.2">
      <c r="A2" s="22" t="s">
        <v>83</v>
      </c>
      <c r="B2" s="22" t="s">
        <v>84</v>
      </c>
      <c r="C2" s="22" t="s">
        <v>28</v>
      </c>
      <c r="D2" s="22" t="s">
        <v>30</v>
      </c>
      <c r="E2" s="22" t="s">
        <v>35</v>
      </c>
      <c r="F2" s="22" t="s">
        <v>85</v>
      </c>
      <c r="G2" s="22" t="s">
        <v>86</v>
      </c>
      <c r="H2" s="22" t="s">
        <v>87</v>
      </c>
    </row>
    <row r="3" spans="1:8" x14ac:dyDescent="0.2">
      <c r="A3" t="s">
        <v>88</v>
      </c>
      <c r="B3" t="s">
        <v>89</v>
      </c>
      <c r="H3" s="21">
        <v>40</v>
      </c>
    </row>
    <row r="4" spans="1:8" x14ac:dyDescent="0.2">
      <c r="A4" t="s">
        <v>88</v>
      </c>
      <c r="B4" t="s">
        <v>90</v>
      </c>
      <c r="C4" t="s">
        <v>6</v>
      </c>
      <c r="D4">
        <v>-188</v>
      </c>
      <c r="E4" s="9">
        <v>3</v>
      </c>
      <c r="F4" s="3" t="s">
        <v>91</v>
      </c>
      <c r="G4" s="24">
        <f t="shared" ref="G4:G24" si="0">IF(F4="Win",E4*(100/ABS(D4)),IF(F4="Loss",-E4,""))</f>
        <v>1.5957446808510638</v>
      </c>
      <c r="H4" s="9">
        <f>H3+G4</f>
        <v>41.595744680851062</v>
      </c>
    </row>
    <row r="5" spans="1:8" x14ac:dyDescent="0.2">
      <c r="G5" s="24" t="str">
        <f t="shared" si="0"/>
        <v/>
      </c>
      <c r="H5" s="9" t="str">
        <f t="shared" ref="H5:H24" si="1">IF(E5="","",H4+G5)</f>
        <v/>
      </c>
    </row>
    <row r="6" spans="1:8" x14ac:dyDescent="0.2">
      <c r="G6" s="24" t="str">
        <f t="shared" si="0"/>
        <v/>
      </c>
      <c r="H6" s="9" t="str">
        <f t="shared" si="1"/>
        <v/>
      </c>
    </row>
    <row r="7" spans="1:8" x14ac:dyDescent="0.2">
      <c r="G7" s="24" t="str">
        <f t="shared" si="0"/>
        <v/>
      </c>
      <c r="H7" s="9" t="str">
        <f t="shared" si="1"/>
        <v/>
      </c>
    </row>
    <row r="8" spans="1:8" x14ac:dyDescent="0.2">
      <c r="G8" s="24" t="str">
        <f t="shared" si="0"/>
        <v/>
      </c>
      <c r="H8" s="9" t="str">
        <f t="shared" si="1"/>
        <v/>
      </c>
    </row>
    <row r="9" spans="1:8" x14ac:dyDescent="0.2">
      <c r="G9" s="24" t="str">
        <f t="shared" si="0"/>
        <v/>
      </c>
      <c r="H9" s="9" t="str">
        <f t="shared" si="1"/>
        <v/>
      </c>
    </row>
    <row r="10" spans="1:8" x14ac:dyDescent="0.2">
      <c r="G10" s="24" t="str">
        <f t="shared" si="0"/>
        <v/>
      </c>
      <c r="H10" s="9" t="str">
        <f t="shared" si="1"/>
        <v/>
      </c>
    </row>
    <row r="11" spans="1:8" x14ac:dyDescent="0.2">
      <c r="G11" s="24" t="str">
        <f t="shared" si="0"/>
        <v/>
      </c>
      <c r="H11" s="9" t="str">
        <f t="shared" si="1"/>
        <v/>
      </c>
    </row>
    <row r="12" spans="1:8" x14ac:dyDescent="0.2">
      <c r="G12" s="24" t="str">
        <f t="shared" si="0"/>
        <v/>
      </c>
      <c r="H12" s="9" t="str">
        <f t="shared" si="1"/>
        <v/>
      </c>
    </row>
    <row r="13" spans="1:8" x14ac:dyDescent="0.2">
      <c r="G13" s="24" t="str">
        <f t="shared" si="0"/>
        <v/>
      </c>
      <c r="H13" s="9" t="str">
        <f t="shared" si="1"/>
        <v/>
      </c>
    </row>
    <row r="14" spans="1:8" x14ac:dyDescent="0.2">
      <c r="G14" s="24" t="str">
        <f t="shared" si="0"/>
        <v/>
      </c>
      <c r="H14" s="9" t="str">
        <f t="shared" si="1"/>
        <v/>
      </c>
    </row>
    <row r="15" spans="1:8" x14ac:dyDescent="0.2">
      <c r="G15" s="24" t="str">
        <f t="shared" si="0"/>
        <v/>
      </c>
      <c r="H15" s="9" t="str">
        <f t="shared" si="1"/>
        <v/>
      </c>
    </row>
    <row r="16" spans="1:8" x14ac:dyDescent="0.2">
      <c r="G16" s="24" t="str">
        <f t="shared" si="0"/>
        <v/>
      </c>
      <c r="H16" s="9" t="str">
        <f t="shared" si="1"/>
        <v/>
      </c>
    </row>
    <row r="17" spans="1:8" x14ac:dyDescent="0.2">
      <c r="G17" s="24" t="str">
        <f t="shared" si="0"/>
        <v/>
      </c>
      <c r="H17" s="9" t="str">
        <f t="shared" si="1"/>
        <v/>
      </c>
    </row>
    <row r="18" spans="1:8" x14ac:dyDescent="0.2">
      <c r="G18" s="24" t="str">
        <f t="shared" si="0"/>
        <v/>
      </c>
      <c r="H18" s="9" t="str">
        <f t="shared" si="1"/>
        <v/>
      </c>
    </row>
    <row r="19" spans="1:8" x14ac:dyDescent="0.2">
      <c r="G19" s="24" t="str">
        <f t="shared" si="0"/>
        <v/>
      </c>
      <c r="H19" s="9" t="str">
        <f t="shared" si="1"/>
        <v/>
      </c>
    </row>
    <row r="20" spans="1:8" x14ac:dyDescent="0.2">
      <c r="G20" s="24" t="str">
        <f t="shared" si="0"/>
        <v/>
      </c>
      <c r="H20" s="9" t="str">
        <f t="shared" si="1"/>
        <v/>
      </c>
    </row>
    <row r="21" spans="1:8" x14ac:dyDescent="0.2">
      <c r="G21" s="24" t="str">
        <f t="shared" si="0"/>
        <v/>
      </c>
      <c r="H21" s="9" t="str">
        <f t="shared" si="1"/>
        <v/>
      </c>
    </row>
    <row r="22" spans="1:8" x14ac:dyDescent="0.2">
      <c r="G22" s="24" t="str">
        <f t="shared" si="0"/>
        <v/>
      </c>
      <c r="H22" s="9" t="str">
        <f t="shared" si="1"/>
        <v/>
      </c>
    </row>
    <row r="23" spans="1:8" x14ac:dyDescent="0.2">
      <c r="G23" s="24" t="str">
        <f t="shared" si="0"/>
        <v/>
      </c>
      <c r="H23" s="9" t="str">
        <f t="shared" si="1"/>
        <v/>
      </c>
    </row>
    <row r="24" spans="1:8" x14ac:dyDescent="0.2">
      <c r="G24" s="24" t="str">
        <f t="shared" si="0"/>
        <v/>
      </c>
      <c r="H24" s="9" t="str">
        <f t="shared" si="1"/>
        <v/>
      </c>
    </row>
    <row r="26" spans="1:8" ht="16" x14ac:dyDescent="0.2">
      <c r="A26" s="20" t="s">
        <v>92</v>
      </c>
    </row>
    <row r="27" spans="1:8" x14ac:dyDescent="0.2">
      <c r="A27" t="s">
        <v>93</v>
      </c>
      <c r="B27">
        <f>COUNTA(F4:F24)-COUNTBLANK(F4:F24)</f>
        <v>-19</v>
      </c>
    </row>
    <row r="28" spans="1:8" x14ac:dyDescent="0.2">
      <c r="A28" t="s">
        <v>94</v>
      </c>
      <c r="B28">
        <f>COUNTIF(F4:F24,"Win")</f>
        <v>1</v>
      </c>
    </row>
    <row r="29" spans="1:8" x14ac:dyDescent="0.2">
      <c r="A29" t="s">
        <v>95</v>
      </c>
      <c r="B29">
        <f>COUNTIF(F4:F24,"Loss")</f>
        <v>0</v>
      </c>
    </row>
    <row r="30" spans="1:8" x14ac:dyDescent="0.2">
      <c r="A30" t="s">
        <v>96</v>
      </c>
      <c r="B30" s="2">
        <f>IF(B27&gt;0,B28/B27,0)</f>
        <v>0</v>
      </c>
    </row>
    <row r="31" spans="1:8" ht="16" x14ac:dyDescent="0.2">
      <c r="A31" t="s">
        <v>97</v>
      </c>
      <c r="B31" s="25">
        <f>SUM(G4:G24)</f>
        <v>1.5957446808510638</v>
      </c>
    </row>
    <row r="32" spans="1:8" x14ac:dyDescent="0.2">
      <c r="A32" t="s">
        <v>98</v>
      </c>
      <c r="B32" s="2">
        <f>IF(SUM(E4:E24)&gt;0,B31/SUM(E4:E24),0)</f>
        <v>0.53191489361702127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Today's Games</vt:lpstr>
      <vt:lpstr>Formulas</vt:lpstr>
      <vt:lpstr>Bet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Barman, Arin</cp:lastModifiedBy>
  <dcterms:created xsi:type="dcterms:W3CDTF">2025-11-13T20:46:36Z</dcterms:created>
  <dcterms:modified xsi:type="dcterms:W3CDTF">2025-12-01T05:31:01Z</dcterms:modified>
</cp:coreProperties>
</file>